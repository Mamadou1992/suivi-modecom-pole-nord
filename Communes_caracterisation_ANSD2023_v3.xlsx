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es à caractériser" sheetId="1" state="visible" r:id="rId1"/>
    <sheet xmlns:r="http://schemas.openxmlformats.org/officeDocument/2006/relationships" name="Sites proposés" sheetId="2" state="visible" r:id="rId2"/>
  </sheets>
  <definedNames>
    <definedName name="_xlnm._FilterDatabase" localSheetId="0" hidden="1">'Communes à caractériser'!$A$1:$P$13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1F6B3B"/>
      <sz val="10"/>
    </font>
  </fonts>
  <fills count="6">
    <fill>
      <patternFill/>
    </fill>
    <fill>
      <patternFill patternType="gray125"/>
    </fill>
    <fill>
      <patternFill patternType="solid">
        <fgColor rgb="001F6B3B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CE9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10" fontId="2" fillId="3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5" customWidth="1" min="3" max="3"/>
    <col width="20" customWidth="1" min="4" max="4"/>
    <col width="28" customWidth="1" min="5" max="5"/>
    <col width="26" customWidth="1" min="6" max="6"/>
    <col width="13" customWidth="1" min="7" max="7"/>
    <col width="15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  <col width="10" customWidth="1" min="16" max="16"/>
  </cols>
  <sheetData>
    <row r="1" ht="42" customHeight="1">
      <c r="A1" s="1" t="inlineStr">
        <is>
          <t>N°</t>
        </is>
      </c>
      <c r="B1" s="1" t="inlineStr">
        <is>
          <t>Infrastructure</t>
        </is>
      </c>
      <c r="C1" s="1" t="inlineStr">
        <is>
          <t>Commune</t>
        </is>
      </c>
      <c r="D1" s="1" t="inlineStr">
        <is>
          <t>Critère</t>
        </is>
      </c>
      <c r="E1" s="1" t="inlineStr">
        <is>
          <t>Méthode</t>
        </is>
      </c>
      <c r="F1" s="1" t="inlineStr">
        <is>
          <t>Dispositif logistique</t>
        </is>
      </c>
      <c r="G1" s="1" t="inlineStr">
        <is>
          <t>Région</t>
        </is>
      </c>
      <c r="H1" s="1" t="inlineStr">
        <is>
          <t>Département</t>
        </is>
      </c>
      <c r="I1" s="1" t="inlineStr">
        <is>
          <t>Quartiers / villages</t>
        </is>
      </c>
      <c r="J1" s="1" t="inlineStr">
        <is>
          <t>Concessions</t>
        </is>
      </c>
      <c r="K1" s="1" t="inlineStr">
        <is>
          <t>Ménages</t>
        </is>
      </c>
      <c r="L1" s="1" t="inlineStr">
        <is>
          <t>Hommes</t>
        </is>
      </c>
      <c r="M1" s="1" t="inlineStr">
        <is>
          <t>Femmes</t>
        </is>
      </c>
      <c r="N1" s="1" t="inlineStr">
        <is>
          <t>Population 2023</t>
        </is>
      </c>
      <c r="O1" s="1" t="inlineStr">
        <is>
          <t>Taille moy. ménage</t>
        </is>
      </c>
      <c r="P1" s="1" t="inlineStr">
        <is>
          <t>% hommes</t>
        </is>
      </c>
    </row>
    <row r="2" ht="30" customHeight="1">
      <c r="A2" s="2" t="n">
        <v>1</v>
      </c>
      <c r="B2" s="3" t="inlineStr">
        <is>
          <t>CTT Dagana</t>
        </is>
      </c>
      <c r="C2" s="3" t="inlineStr">
        <is>
          <t>Dagana</t>
        </is>
      </c>
      <c r="D2" s="3" t="inlineStr">
        <is>
          <t>Chef-lieu</t>
        </is>
      </c>
      <c r="E2" s="3" t="inlineStr">
        <is>
          <t>Sur sites de collecte</t>
        </is>
      </c>
      <c r="F2" s="3" t="inlineStr">
        <is>
          <t>Personnel uniquement</t>
        </is>
      </c>
      <c r="G2" s="3" t="inlineStr">
        <is>
          <t>Saint-Louis</t>
        </is>
      </c>
      <c r="H2" s="3" t="inlineStr">
        <is>
          <t>Dagana</t>
        </is>
      </c>
      <c r="I2" s="2" t="n">
        <v>11</v>
      </c>
      <c r="J2" s="4" t="n">
        <v>2864</v>
      </c>
      <c r="K2" s="4" t="n">
        <v>3189</v>
      </c>
      <c r="L2" s="4" t="n">
        <v>13893</v>
      </c>
      <c r="M2" s="4" t="n">
        <v>12675</v>
      </c>
      <c r="N2" s="4" t="n">
        <v>26568</v>
      </c>
      <c r="O2" s="5">
        <f>ROUND(N2/K2,2)</f>
        <v/>
      </c>
      <c r="P2" s="6">
        <f>L2/N2</f>
        <v/>
      </c>
    </row>
    <row r="3" ht="30" customHeight="1">
      <c r="A3" s="7" t="n">
        <v>2</v>
      </c>
      <c r="B3" s="8" t="inlineStr">
        <is>
          <t>CTT Dagana</t>
        </is>
      </c>
      <c r="C3" s="8" t="inlineStr">
        <is>
          <t>Richard Toll</t>
        </is>
      </c>
      <c r="D3" s="8" t="inlineStr">
        <is>
          <t>Plus peuplée</t>
        </is>
      </c>
      <c r="E3" s="8" t="inlineStr">
        <is>
          <t>MODECOM à la source</t>
        </is>
      </c>
      <c r="F3" s="8" t="inlineStr">
        <is>
          <t>Personnel uniquement</t>
        </is>
      </c>
      <c r="G3" s="8" t="inlineStr">
        <is>
          <t>Saint-Louis</t>
        </is>
      </c>
      <c r="H3" s="8" t="inlineStr">
        <is>
          <t>Dagana</t>
        </is>
      </c>
      <c r="I3" s="7" t="n">
        <v>11</v>
      </c>
      <c r="J3" s="9" t="n">
        <v>6894</v>
      </c>
      <c r="K3" s="9" t="n">
        <v>9173</v>
      </c>
      <c r="L3" s="9" t="n">
        <v>38787</v>
      </c>
      <c r="M3" s="9" t="n">
        <v>34360</v>
      </c>
      <c r="N3" s="9" t="n">
        <v>73147</v>
      </c>
      <c r="O3" s="10">
        <f>ROUND(N3/K3,2)</f>
        <v/>
      </c>
      <c r="P3" s="11">
        <f>L3/N3</f>
        <v/>
      </c>
    </row>
    <row r="4" ht="30" customHeight="1">
      <c r="A4" s="2" t="n">
        <v>3</v>
      </c>
      <c r="B4" s="3" t="inlineStr">
        <is>
          <t>CIVD Bokhol</t>
        </is>
      </c>
      <c r="C4" s="3" t="inlineStr">
        <is>
          <t>Bokhol</t>
        </is>
      </c>
      <c r="D4" s="3" t="inlineStr">
        <is>
          <t>Chef-lieu</t>
        </is>
      </c>
      <c r="E4" s="3" t="inlineStr">
        <is>
          <t>Sur sites de collecte</t>
        </is>
      </c>
      <c r="F4" s="3" t="inlineStr">
        <is>
          <t>Personnel uniquement</t>
        </is>
      </c>
      <c r="G4" s="3" t="inlineStr">
        <is>
          <t>Saint-Louis</t>
        </is>
      </c>
      <c r="H4" s="3" t="inlineStr">
        <is>
          <t>Dagana</t>
        </is>
      </c>
      <c r="I4" s="2" t="n">
        <v>59</v>
      </c>
      <c r="J4" s="4" t="n">
        <v>2110</v>
      </c>
      <c r="K4" s="4" t="n">
        <v>2577</v>
      </c>
      <c r="L4" s="4" t="n">
        <v>11395</v>
      </c>
      <c r="M4" s="4" t="n">
        <v>11256</v>
      </c>
      <c r="N4" s="4" t="n">
        <v>22651</v>
      </c>
      <c r="O4" s="5">
        <f>ROUND(N4/K4,2)</f>
        <v/>
      </c>
      <c r="P4" s="6">
        <f>L4/N4</f>
        <v/>
      </c>
    </row>
    <row r="5" ht="30" customHeight="1">
      <c r="A5" s="7" t="n">
        <v>4</v>
      </c>
      <c r="B5" s="8" t="inlineStr">
        <is>
          <t>CIVD Bokhol</t>
        </is>
      </c>
      <c r="C5" s="8" t="inlineStr">
        <is>
          <t>Fanaye</t>
        </is>
      </c>
      <c r="D5" s="8" t="inlineStr">
        <is>
          <t>Plus peuplée</t>
        </is>
      </c>
      <c r="E5" s="8" t="inlineStr">
        <is>
          <t>MODECOM à la source</t>
        </is>
      </c>
      <c r="F5" s="8" t="inlineStr">
        <is>
          <t>Personnel uniquement</t>
        </is>
      </c>
      <c r="G5" s="8" t="inlineStr">
        <is>
          <t>Saint-Louis</t>
        </is>
      </c>
      <c r="H5" s="8" t="inlineStr">
        <is>
          <t>Podor</t>
        </is>
      </c>
      <c r="I5" s="7" t="n">
        <v>104</v>
      </c>
      <c r="J5" s="9" t="n">
        <v>3234</v>
      </c>
      <c r="K5" s="9" t="n">
        <v>5873</v>
      </c>
      <c r="L5" s="9" t="n">
        <v>24123</v>
      </c>
      <c r="M5" s="9" t="n">
        <v>24051</v>
      </c>
      <c r="N5" s="9" t="n">
        <v>48174</v>
      </c>
      <c r="O5" s="10">
        <f>ROUND(N5/K5,2)</f>
        <v/>
      </c>
      <c r="P5" s="11">
        <f>L5/N5</f>
        <v/>
      </c>
    </row>
    <row r="6" ht="30" customHeight="1">
      <c r="A6" s="2" t="n">
        <v>5</v>
      </c>
      <c r="B6" s="3" t="inlineStr">
        <is>
          <t>CIVD Ndioum</t>
        </is>
      </c>
      <c r="C6" s="3" t="inlineStr">
        <is>
          <t>Ndioum</t>
        </is>
      </c>
      <c r="D6" s="3" t="inlineStr">
        <is>
          <t>Chef-lieu</t>
        </is>
      </c>
      <c r="E6" s="3" t="inlineStr">
        <is>
          <t>Sur sites de collecte</t>
        </is>
      </c>
      <c r="F6" s="3" t="inlineStr">
        <is>
          <t>Personnel uniquement</t>
        </is>
      </c>
      <c r="G6" s="3" t="inlineStr">
        <is>
          <t>Saint-Louis</t>
        </is>
      </c>
      <c r="H6" s="3" t="inlineStr">
        <is>
          <t>Podor</t>
        </is>
      </c>
      <c r="I6" s="2" t="n">
        <v>10</v>
      </c>
      <c r="J6" s="4" t="n">
        <v>1608</v>
      </c>
      <c r="K6" s="4" t="n">
        <v>2033</v>
      </c>
      <c r="L6" s="4" t="n">
        <v>10764</v>
      </c>
      <c r="M6" s="4" t="n">
        <v>9506</v>
      </c>
      <c r="N6" s="4" t="n">
        <v>20270</v>
      </c>
      <c r="O6" s="5">
        <f>ROUND(N6/K6,2)</f>
        <v/>
      </c>
      <c r="P6" s="6">
        <f>L6/N6</f>
        <v/>
      </c>
    </row>
    <row r="7" ht="30" customHeight="1">
      <c r="A7" s="7" t="n">
        <v>6</v>
      </c>
      <c r="B7" s="8" t="inlineStr">
        <is>
          <t>CIVD Ndioum</t>
        </is>
      </c>
      <c r="C7" s="8" t="inlineStr">
        <is>
          <t>Podor</t>
        </is>
      </c>
      <c r="D7" s="8" t="inlineStr">
        <is>
          <t>Plus peuplée</t>
        </is>
      </c>
      <c r="E7" s="8" t="inlineStr">
        <is>
          <t>MODECOM à la source</t>
        </is>
      </c>
      <c r="F7" s="8" t="inlineStr">
        <is>
          <t>Personnel uniquement</t>
        </is>
      </c>
      <c r="G7" s="8" t="inlineStr">
        <is>
          <t>Saint-Louis</t>
        </is>
      </c>
      <c r="H7" s="8" t="inlineStr">
        <is>
          <t>Podor</t>
        </is>
      </c>
      <c r="I7" s="7" t="n">
        <v>6</v>
      </c>
      <c r="J7" s="9" t="n">
        <v>1224</v>
      </c>
      <c r="K7" s="9" t="n">
        <v>1544</v>
      </c>
      <c r="L7" s="9" t="n">
        <v>6366</v>
      </c>
      <c r="M7" s="9" t="n">
        <v>6146</v>
      </c>
      <c r="N7" s="9" t="n">
        <v>12512</v>
      </c>
      <c r="O7" s="10">
        <f>ROUND(N7/K7,2)</f>
        <v/>
      </c>
      <c r="P7" s="11">
        <f>L7/N7</f>
        <v/>
      </c>
    </row>
    <row r="8" ht="30" customHeight="1">
      <c r="A8" s="2" t="n">
        <v>7</v>
      </c>
      <c r="B8" s="3" t="inlineStr">
        <is>
          <t>CIVD Ndioum</t>
        </is>
      </c>
      <c r="C8" s="3" t="inlineStr">
        <is>
          <t>Golléré</t>
        </is>
      </c>
      <c r="D8" s="3" t="inlineStr">
        <is>
          <t>Périmètre 7 communes</t>
        </is>
      </c>
      <c r="E8" s="3" t="inlineStr">
        <is>
          <t>MODECOM à la source</t>
        </is>
      </c>
      <c r="F8" s="3" t="inlineStr">
        <is>
          <t>Personnel uniquement</t>
        </is>
      </c>
      <c r="G8" s="3" t="inlineStr">
        <is>
          <t>Saint-Louis</t>
        </is>
      </c>
      <c r="H8" s="3" t="inlineStr">
        <is>
          <t>Podor</t>
        </is>
      </c>
      <c r="I8" s="2" t="n">
        <v>6</v>
      </c>
      <c r="J8" s="4" t="n">
        <v>370</v>
      </c>
      <c r="K8" s="4" t="n">
        <v>679</v>
      </c>
      <c r="L8" s="4" t="n">
        <v>3755</v>
      </c>
      <c r="M8" s="4" t="n">
        <v>3369</v>
      </c>
      <c r="N8" s="4" t="n">
        <v>7124</v>
      </c>
      <c r="O8" s="5">
        <f>ROUND(N8/K8,2)</f>
        <v/>
      </c>
      <c r="P8" s="6">
        <f>L8/N8</f>
        <v/>
      </c>
    </row>
    <row r="9" ht="30" customHeight="1">
      <c r="A9" s="7" t="n">
        <v>8</v>
      </c>
      <c r="B9" s="8" t="inlineStr">
        <is>
          <t>CIVD Ogo</t>
        </is>
      </c>
      <c r="C9" s="8" t="inlineStr">
        <is>
          <t>Ogo</t>
        </is>
      </c>
      <c r="D9" s="8" t="inlineStr">
        <is>
          <t>Pastorale</t>
        </is>
      </c>
      <c r="E9" s="8" t="inlineStr">
        <is>
          <t>MODECOM adapté agro-pastoral</t>
        </is>
      </c>
      <c r="F9" s="8" t="inlineStr">
        <is>
          <t>Personnel uniquement</t>
        </is>
      </c>
      <c r="G9" s="8" t="inlineStr">
        <is>
          <t>Matam</t>
        </is>
      </c>
      <c r="H9" s="8" t="inlineStr">
        <is>
          <t>Matam</t>
        </is>
      </c>
      <c r="I9" s="7" t="n">
        <v>76</v>
      </c>
      <c r="J9" s="9" t="n">
        <v>3756</v>
      </c>
      <c r="K9" s="9" t="n">
        <v>5389</v>
      </c>
      <c r="L9" s="9" t="n">
        <v>32892</v>
      </c>
      <c r="M9" s="9" t="n">
        <v>32802</v>
      </c>
      <c r="N9" s="9" t="n">
        <v>65694</v>
      </c>
      <c r="O9" s="10">
        <f>ROUND(N9/K9,2)</f>
        <v/>
      </c>
      <c r="P9" s="11">
        <f>L9/N9</f>
        <v/>
      </c>
    </row>
    <row r="10" ht="30" customHeight="1">
      <c r="A10" s="2" t="n">
        <v>9</v>
      </c>
      <c r="B10" s="3" t="inlineStr">
        <is>
          <t>CIVD Ogo</t>
        </is>
      </c>
      <c r="C10" s="3" t="inlineStr">
        <is>
          <t>Matam</t>
        </is>
      </c>
      <c r="D10" s="3" t="inlineStr">
        <is>
          <t>Plus peuplée</t>
        </is>
      </c>
      <c r="E10" s="3" t="inlineStr">
        <is>
          <t>MODECOM à la source</t>
        </is>
      </c>
      <c r="F10" s="12" t="inlineStr">
        <is>
          <t>1 benne tasseuse + personnel</t>
        </is>
      </c>
      <c r="G10" s="3" t="inlineStr">
        <is>
          <t>Matam</t>
        </is>
      </c>
      <c r="H10" s="3" t="inlineStr">
        <is>
          <t>Matam</t>
        </is>
      </c>
      <c r="I10" s="2" t="n">
        <v>6</v>
      </c>
      <c r="J10" s="4" t="n">
        <v>1823</v>
      </c>
      <c r="K10" s="4" t="n">
        <v>2757</v>
      </c>
      <c r="L10" s="4" t="n">
        <v>15537</v>
      </c>
      <c r="M10" s="4" t="n">
        <v>12158</v>
      </c>
      <c r="N10" s="4" t="n">
        <v>27695</v>
      </c>
      <c r="O10" s="5">
        <f>ROUND(N10/K10,2)</f>
        <v/>
      </c>
      <c r="P10" s="6">
        <f>L10/N10</f>
        <v/>
      </c>
    </row>
    <row r="11" ht="30" customHeight="1">
      <c r="A11" s="7" t="n">
        <v>10</v>
      </c>
      <c r="B11" s="8" t="inlineStr">
        <is>
          <t>CIVD Ogo</t>
        </is>
      </c>
      <c r="C11" s="8" t="inlineStr">
        <is>
          <t>Ourossogui</t>
        </is>
      </c>
      <c r="D11" s="8" t="inlineStr">
        <is>
          <t>Périmètre 10 communes</t>
        </is>
      </c>
      <c r="E11" s="8" t="inlineStr">
        <is>
          <t>MODECOM à la source</t>
        </is>
      </c>
      <c r="F11" s="12" t="inlineStr">
        <is>
          <t>1 benne tasseuse + personnel</t>
        </is>
      </c>
      <c r="G11" s="8" t="inlineStr">
        <is>
          <t>Matam</t>
        </is>
      </c>
      <c r="H11" s="8" t="inlineStr">
        <is>
          <t>Matam</t>
        </is>
      </c>
      <c r="I11" s="7" t="n">
        <v>10</v>
      </c>
      <c r="J11" s="9" t="n">
        <v>1896</v>
      </c>
      <c r="K11" s="9" t="n">
        <v>3024</v>
      </c>
      <c r="L11" s="9" t="n">
        <v>15830</v>
      </c>
      <c r="M11" s="9" t="n">
        <v>11392</v>
      </c>
      <c r="N11" s="9" t="n">
        <v>27222</v>
      </c>
      <c r="O11" s="10">
        <f>ROUND(N11/K11,2)</f>
        <v/>
      </c>
      <c r="P11" s="11">
        <f>L11/N11</f>
        <v/>
      </c>
    </row>
    <row r="12" ht="30" customHeight="1">
      <c r="A12" s="2" t="n">
        <v>11</v>
      </c>
      <c r="B12" s="3" t="inlineStr">
        <is>
          <t>CIVD Ogo</t>
        </is>
      </c>
      <c r="C12" s="3" t="inlineStr">
        <is>
          <t>Bokidiawé</t>
        </is>
      </c>
      <c r="D12" s="3" t="inlineStr">
        <is>
          <t>Cluster ex-Bokidiawé</t>
        </is>
      </c>
      <c r="E12" s="3" t="inlineStr">
        <is>
          <t>MODECOM adapté agro-pastoral</t>
        </is>
      </c>
      <c r="F12" s="3" t="inlineStr">
        <is>
          <t>Personnel uniquement</t>
        </is>
      </c>
      <c r="G12" s="3" t="inlineStr">
        <is>
          <t>Matam</t>
        </is>
      </c>
      <c r="H12" s="3" t="inlineStr">
        <is>
          <t>Matam</t>
        </is>
      </c>
      <c r="I12" s="2" t="n">
        <v>78</v>
      </c>
      <c r="J12" s="4" t="n">
        <v>4303</v>
      </c>
      <c r="K12" s="4" t="n">
        <v>6062</v>
      </c>
      <c r="L12" s="4" t="n">
        <v>37816</v>
      </c>
      <c r="M12" s="4" t="n">
        <v>35584</v>
      </c>
      <c r="N12" s="4" t="n">
        <v>73400</v>
      </c>
      <c r="O12" s="5">
        <f>ROUND(N12/K12,2)</f>
        <v/>
      </c>
      <c r="P12" s="6">
        <f>L12/N12</f>
        <v/>
      </c>
    </row>
    <row r="13" ht="30" customHeight="1">
      <c r="A13" s="7" t="n">
        <v>12</v>
      </c>
      <c r="B13" s="8" t="inlineStr">
        <is>
          <t>CET Ranérou</t>
        </is>
      </c>
      <c r="C13" s="8" t="inlineStr">
        <is>
          <t>Ranérou</t>
        </is>
      </c>
      <c r="D13" s="8" t="inlineStr">
        <is>
          <t>Chef-lieu</t>
        </is>
      </c>
      <c r="E13" s="8" t="inlineStr">
        <is>
          <t>Sur sites régime allégé (§ 5.3)</t>
        </is>
      </c>
      <c r="F13" s="8" t="inlineStr">
        <is>
          <t>Personnel uniquement</t>
        </is>
      </c>
      <c r="G13" s="8" t="inlineStr">
        <is>
          <t>Matam</t>
        </is>
      </c>
      <c r="H13" s="8" t="inlineStr">
        <is>
          <t>Ranérou-Ferlo</t>
        </is>
      </c>
      <c r="I13" s="7" t="n">
        <v>4</v>
      </c>
      <c r="J13" s="9" t="n">
        <v>460</v>
      </c>
      <c r="K13" s="9" t="n">
        <v>673</v>
      </c>
      <c r="L13" s="9" t="n">
        <v>2496</v>
      </c>
      <c r="M13" s="9" t="n">
        <v>2152</v>
      </c>
      <c r="N13" s="9" t="n">
        <v>4648</v>
      </c>
      <c r="O13" s="10">
        <f>ROUND(N13/K13,2)</f>
        <v/>
      </c>
      <c r="P13" s="11">
        <f>L13/N13</f>
        <v/>
      </c>
    </row>
    <row r="14">
      <c r="A14" s="13" t="n"/>
      <c r="B14" s="14" t="inlineStr">
        <is>
          <t>TOTAL / MOYENNE</t>
        </is>
      </c>
      <c r="C14" s="13" t="n"/>
      <c r="D14" s="13" t="n"/>
      <c r="E14" s="13" t="n"/>
      <c r="F14" s="13" t="n"/>
      <c r="G14" s="13" t="n"/>
      <c r="H14" s="13" t="n"/>
      <c r="I14" s="13">
        <f>SUM(I2:I13)</f>
        <v/>
      </c>
      <c r="J14" s="15">
        <f>SUM(J2:J13)</f>
        <v/>
      </c>
      <c r="K14" s="15">
        <f>SUM(K2:K13)</f>
        <v/>
      </c>
      <c r="L14" s="15">
        <f>SUM(L2:L13)</f>
        <v/>
      </c>
      <c r="M14" s="15">
        <f>SUM(M2:M13)</f>
        <v/>
      </c>
      <c r="N14" s="15">
        <f>SUM(N2:N13)</f>
        <v/>
      </c>
      <c r="O14" s="16">
        <f>ROUND(N14/K14,2)</f>
        <v/>
      </c>
      <c r="P14" s="17">
        <f>L14/N14</f>
        <v/>
      </c>
    </row>
    <row r="16">
      <c r="B16" s="18" t="inlineStr">
        <is>
          <t>Source des colonnes I à N : ANSD, RGPH-5 2023 (fichier « Recensement ANSD 2023_complet ») — agrégation des quartiers/villages par commune.</t>
        </is>
      </c>
    </row>
    <row r="17">
      <c r="B17" s="18" t="inlineStr">
        <is>
          <t>Taille moyenne du ménage = Population / Ménages. % hommes = Hommes / Population.</t>
        </is>
      </c>
    </row>
    <row r="18">
      <c r="B18" s="18" t="inlineStr">
        <is>
          <t>Dispositif logistique : seules Matam et Ourossogui disposent d'une benne tasseuse (1 par commune) ; les 10 autres n'ont que du personnel de collecte.</t>
        </is>
      </c>
    </row>
  </sheetData>
  <autoFilter ref="A1:P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30" customWidth="1" min="4" max="4"/>
    <col width="24" customWidth="1" min="5" max="5"/>
    <col width="11" customWidth="1" min="6" max="6"/>
    <col width="11" customWidth="1" min="7" max="7"/>
    <col width="10" customWidth="1" min="8" max="8"/>
    <col width="16" customWidth="1" min="9" max="9"/>
    <col width="15" customWidth="1" min="10" max="10"/>
    <col width="62" customWidth="1" min="11" max="11"/>
    <col width="15" customWidth="1" min="12" max="12"/>
    <col width="20" customWidth="1" min="13" max="13"/>
  </cols>
  <sheetData>
    <row r="1" ht="46" customHeight="1">
      <c r="A1" s="1" t="inlineStr">
        <is>
          <t>N°</t>
        </is>
      </c>
      <c r="B1" s="1" t="inlineStr">
        <is>
          <t>Commune</t>
        </is>
      </c>
      <c r="C1" s="1" t="inlineStr">
        <is>
          <t>Méthode</t>
        </is>
      </c>
      <c r="D1" s="1" t="inlineStr">
        <is>
          <t>Site de caractérisation proposé</t>
        </is>
      </c>
      <c r="E1" s="1" t="inlineStr">
        <is>
          <t>Type de site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Ménages</t>
        </is>
      </c>
      <c r="I1" s="1" t="inlineStr">
        <is>
          <t>Ménages à équiper en sacs</t>
        </is>
      </c>
      <c r="J1" s="1" t="inlineStr">
        <is>
          <t>Surface indicative (m²)</t>
        </is>
      </c>
      <c r="K1" s="1" t="inlineStr">
        <is>
          <t>Justification</t>
        </is>
      </c>
      <c r="L1" s="1" t="inlineStr">
        <is>
          <t>Taux de sondage</t>
        </is>
      </c>
      <c r="M1" s="1" t="inlineStr">
        <is>
          <t>Marge d'erreur (CV 40 %)</t>
        </is>
      </c>
    </row>
    <row r="2" ht="46" customHeight="1">
      <c r="A2" s="2" t="n">
        <v>1</v>
      </c>
      <c r="B2" s="3" t="inlineStr">
        <is>
          <t>Richard Toll</t>
        </is>
      </c>
      <c r="C2" s="3" t="inlineStr">
        <is>
          <t>MODECOM à la source</t>
        </is>
      </c>
      <c r="D2" s="3" t="inlineStr">
        <is>
          <t>Décharge communale de Richard Toll</t>
        </is>
      </c>
      <c r="E2" s="3" t="inlineStr">
        <is>
          <t>Décharge existante (OSM)</t>
        </is>
      </c>
      <c r="F2" s="19" t="n">
        <v>16.4684</v>
      </c>
      <c r="G2" s="19" t="n">
        <v>-15.696</v>
      </c>
      <c r="H2" s="4" t="n">
        <v>9173</v>
      </c>
      <c r="I2" s="2" t="n">
        <v>62</v>
      </c>
      <c r="J2" s="2" t="n">
        <v>500</v>
      </c>
      <c r="K2" s="3" t="inlineStr">
        <is>
          <t>Seul site de traitement déjà identifié dans les 8 communes. Emprise disponible, accès camion, hors zone d'habitat.</t>
        </is>
      </c>
      <c r="L2" s="22">
        <f>I2/H2</f>
        <v/>
      </c>
      <c r="M2" s="6">
        <f>1.96*0.4/SQRT(I2)</f>
        <v/>
      </c>
    </row>
    <row r="3" ht="46" customHeight="1">
      <c r="A3" s="7" t="n">
        <v>2</v>
      </c>
      <c r="B3" s="8" t="inlineStr">
        <is>
          <t>Fanaye</t>
        </is>
      </c>
      <c r="C3" s="8" t="inlineStr">
        <is>
          <t>MODECOM à la source</t>
        </is>
      </c>
      <c r="D3" s="8" t="inlineStr">
        <is>
          <t>Fanaye Diéry (chef-lieu)</t>
        </is>
      </c>
      <c r="E3" s="8" t="inlineStr">
        <is>
          <t>Chef-lieu de commune</t>
        </is>
      </c>
      <c r="F3" s="20" t="n">
        <v>16.528</v>
      </c>
      <c r="G3" s="20" t="n">
        <v>-15.2248</v>
      </c>
      <c r="H3" s="9" t="n">
        <v>5873</v>
      </c>
      <c r="I3" s="7" t="n">
        <v>62</v>
      </c>
      <c r="J3" s="7" t="n">
        <v>400</v>
      </c>
      <c r="K3" s="8" t="inlineStr">
        <is>
          <t>Commune étendue (1 980 km²) et très dispersée (104 villages). Site au chef-lieu pour limiter les temps de transport des sachets.</t>
        </is>
      </c>
      <c r="L3" s="23">
        <f>I3/H3</f>
        <v/>
      </c>
      <c r="M3" s="11">
        <f>1.96*0.4/SQRT(I3)</f>
        <v/>
      </c>
    </row>
    <row r="4" ht="46" customHeight="1">
      <c r="A4" s="2" t="n">
        <v>3</v>
      </c>
      <c r="B4" s="3" t="inlineStr">
        <is>
          <t>Podor</t>
        </is>
      </c>
      <c r="C4" s="3" t="inlineStr">
        <is>
          <t>MODECOM à la source</t>
        </is>
      </c>
      <c r="D4" s="3" t="inlineStr">
        <is>
          <t>Podor (chef-lieu)</t>
        </is>
      </c>
      <c r="E4" s="3" t="inlineStr">
        <is>
          <t>Chef-lieu de commune</t>
        </is>
      </c>
      <c r="F4" s="19" t="n">
        <v>16.6527</v>
      </c>
      <c r="G4" s="19" t="n">
        <v>-14.9587</v>
      </c>
      <c r="H4" s="4" t="n">
        <v>1544</v>
      </c>
      <c r="I4" s="2" t="n">
        <v>62</v>
      </c>
      <c r="J4" s="2" t="n">
        <v>300</v>
      </c>
      <c r="K4" s="3" t="inlineStr">
        <is>
          <t>Commune très compacte (2 km², 6 quartiers). Un site central suffit, tous les quartiers sont à moins de 2 km.</t>
        </is>
      </c>
      <c r="L4" s="22">
        <f>I4/H4</f>
        <v/>
      </c>
      <c r="M4" s="6">
        <f>1.96*0.4/SQRT(I4)</f>
        <v/>
      </c>
    </row>
    <row r="5" ht="46" customHeight="1">
      <c r="A5" s="7" t="n">
        <v>4</v>
      </c>
      <c r="B5" s="8" t="inlineStr">
        <is>
          <t>Golléré</t>
        </is>
      </c>
      <c r="C5" s="8" t="inlineStr">
        <is>
          <t>MODECOM à la source</t>
        </is>
      </c>
      <c r="D5" s="8" t="inlineStr">
        <is>
          <t>Golléré (chef-lieu)</t>
        </is>
      </c>
      <c r="E5" s="8" t="inlineStr">
        <is>
          <t>Chef-lieu de commune</t>
        </is>
      </c>
      <c r="F5" s="20" t="n">
        <v>16.2561</v>
      </c>
      <c r="G5" s="20" t="n">
        <v>-14.1026</v>
      </c>
      <c r="H5" s="9" t="n">
        <v>679</v>
      </c>
      <c r="I5" s="7" t="n">
        <v>62</v>
      </c>
      <c r="J5" s="7" t="n">
        <v>300</v>
      </c>
      <c r="K5" s="8" t="inlineStr">
        <is>
          <t>Plus petite commune du dispositif (679 ménages). Site unique au chef-lieu, à mutualiser éventuellement avec Ndioum.</t>
        </is>
      </c>
      <c r="L5" s="23">
        <f>I5/H5</f>
        <v/>
      </c>
      <c r="M5" s="11">
        <f>1.96*0.4/SQRT(I5)</f>
        <v/>
      </c>
    </row>
    <row r="6" ht="46" customHeight="1">
      <c r="A6" s="2" t="n">
        <v>5</v>
      </c>
      <c r="B6" s="3" t="inlineStr">
        <is>
          <t>Ogo</t>
        </is>
      </c>
      <c r="C6" s="3" t="inlineStr">
        <is>
          <t>MODECOM adapté agro-pastoral</t>
        </is>
      </c>
      <c r="D6" s="3" t="inlineStr">
        <is>
          <t>CIVD Ogo</t>
        </is>
      </c>
      <c r="E6" s="3" t="inlineStr">
        <is>
          <t>Infrastructure du projet</t>
        </is>
      </c>
      <c r="F6" s="19" t="n">
        <v>15.5507</v>
      </c>
      <c r="G6" s="19" t="n">
        <v>-13.2963</v>
      </c>
      <c r="H6" s="4" t="n">
        <v>5389</v>
      </c>
      <c r="I6" s="2" t="n">
        <v>62</v>
      </c>
      <c r="J6" s="2" t="n">
        <v>500</v>
      </c>
      <c r="K6" s="3" t="inlineStr">
        <is>
          <t>Le CIVD est implanté dans la commune. Aucun site à créer, la plateforme accueille directement le tri.</t>
        </is>
      </c>
      <c r="L6" s="22">
        <f>I6/H6</f>
        <v/>
      </c>
      <c r="M6" s="6">
        <f>1.96*0.4/SQRT(I6)</f>
        <v/>
      </c>
    </row>
    <row r="7" ht="46" customHeight="1">
      <c r="A7" s="7" t="n">
        <v>6</v>
      </c>
      <c r="B7" s="8" t="inlineStr">
        <is>
          <t>Matam</t>
        </is>
      </c>
      <c r="C7" s="8" t="inlineStr">
        <is>
          <t>MODECOM à la source</t>
        </is>
      </c>
      <c r="D7" s="8" t="inlineStr">
        <is>
          <t>Matam (chef-lieu)</t>
        </is>
      </c>
      <c r="E7" s="8" t="inlineStr">
        <is>
          <t>Chef-lieu de commune</t>
        </is>
      </c>
      <c r="F7" s="20" t="n">
        <v>15.6566</v>
      </c>
      <c r="G7" s="20" t="n">
        <v>-13.2559</v>
      </c>
      <c r="H7" s="9" t="n">
        <v>2757</v>
      </c>
      <c r="I7" s="7" t="n">
        <v>62</v>
      </c>
      <c r="J7" s="7" t="n">
        <v>400</v>
      </c>
      <c r="K7" s="8" t="inlineStr">
        <is>
          <t>Commune dotée d'une benne tasseuse, qui peut assurer l'acheminement des sachets vers le site.</t>
        </is>
      </c>
      <c r="L7" s="23">
        <f>I7/H7</f>
        <v/>
      </c>
      <c r="M7" s="11">
        <f>1.96*0.4/SQRT(I7)</f>
        <v/>
      </c>
    </row>
    <row r="8" ht="46" customHeight="1">
      <c r="A8" s="2" t="n">
        <v>7</v>
      </c>
      <c r="B8" s="3" t="inlineStr">
        <is>
          <t>Ourossogui</t>
        </is>
      </c>
      <c r="C8" s="3" t="inlineStr">
        <is>
          <t>MODECOM à la source</t>
        </is>
      </c>
      <c r="D8" s="3" t="inlineStr">
        <is>
          <t>Ourossogui (chef-lieu)</t>
        </is>
      </c>
      <c r="E8" s="3" t="inlineStr">
        <is>
          <t>Chef-lieu de commune</t>
        </is>
      </c>
      <c r="F8" s="19" t="n">
        <v>15.6065</v>
      </c>
      <c r="G8" s="19" t="n">
        <v>-13.3211</v>
      </c>
      <c r="H8" s="4" t="n">
        <v>3024</v>
      </c>
      <c r="I8" s="2" t="n">
        <v>62</v>
      </c>
      <c r="J8" s="2" t="n">
        <v>400</v>
      </c>
      <c r="K8" s="3" t="inlineStr">
        <is>
          <t>Commune dotée d'une benne tasseuse. Site à moins de 10 km de Matam et du CIVD Ogo, mutualisation possible.</t>
        </is>
      </c>
      <c r="L8" s="22">
        <f>I8/H8</f>
        <v/>
      </c>
      <c r="M8" s="6">
        <f>1.96*0.4/SQRT(I8)</f>
        <v/>
      </c>
    </row>
    <row r="9" ht="46" customHeight="1">
      <c r="A9" s="7" t="n">
        <v>8</v>
      </c>
      <c r="B9" s="8" t="inlineStr">
        <is>
          <t>Bokidiawé</t>
        </is>
      </c>
      <c r="C9" s="8" t="inlineStr">
        <is>
          <t>MODECOM adapté agro-pastoral</t>
        </is>
      </c>
      <c r="D9" s="8" t="inlineStr">
        <is>
          <t>Bokidiawé (chef-lieu)</t>
        </is>
      </c>
      <c r="E9" s="8" t="inlineStr">
        <is>
          <t>Chef-lieu de commune</t>
        </is>
      </c>
      <c r="F9" s="20" t="n">
        <v>15.8875</v>
      </c>
      <c r="G9" s="20" t="n">
        <v>-13.4917</v>
      </c>
      <c r="H9" s="9" t="n">
        <v>6062</v>
      </c>
      <c r="I9" s="7" t="n">
        <v>62</v>
      </c>
      <c r="J9" s="7" t="n">
        <v>500</v>
      </c>
      <c r="K9" s="8" t="inlineStr">
        <is>
          <t>78 villages sur 590 km². Site au chef-lieu, avec circuit de ramassage des sachets sur les villages échantillonnés.</t>
        </is>
      </c>
      <c r="L9" s="23">
        <f>I9/H9</f>
        <v/>
      </c>
      <c r="M9" s="11">
        <f>1.96*0.4/SQRT(I9)</f>
        <v/>
      </c>
    </row>
    <row r="10">
      <c r="A10" s="24" t="n"/>
      <c r="B10" s="25" t="inlineStr">
        <is>
          <t>TOTAL 8 communes</t>
        </is>
      </c>
      <c r="C10" s="24" t="n"/>
      <c r="D10" s="24" t="n"/>
      <c r="E10" s="24" t="n"/>
      <c r="F10" s="24" t="n"/>
      <c r="G10" s="24" t="n"/>
      <c r="H10" s="26">
        <f>SUM(H2:H9)</f>
        <v/>
      </c>
      <c r="I10" s="24">
        <f>SUM(I2:I9)</f>
        <v/>
      </c>
      <c r="J10" s="24" t="n"/>
      <c r="K10" s="24" t="n"/>
      <c r="L10" s="27">
        <f>I10/H10</f>
        <v/>
      </c>
      <c r="M10" s="24" t="n"/>
    </row>
    <row r="11">
      <c r="B11" s="21" t="inlineStr">
        <is>
          <t>CRITÈRES RETENUS POUR LE SITE DE CARACTÉRISATION</t>
        </is>
      </c>
    </row>
    <row r="12">
      <c r="B12" s="21" t="inlineStr">
        <is>
          <t>CRITÈRES RETENUS POUR LE SITE DE CARACTÉRISATION</t>
        </is>
      </c>
    </row>
    <row r="13">
      <c r="B13" s="18" t="inlineStr">
        <is>
          <t>1. Surface plane et stabilisée de 300 à 500 m², dont 100 à 150 m² abrités pour la table de tri et le stockage des sachets.</t>
        </is>
      </c>
    </row>
    <row r="14">
      <c r="B14" s="18" t="inlineStr">
        <is>
          <t>2. Accès camion praticable toute l'année, y compris en hivernage.</t>
        </is>
      </c>
    </row>
    <row r="15">
      <c r="B15" s="18" t="inlineStr">
        <is>
          <t>3. Moins de 10 km entre le site et les quartiers ou villages échantillonnés, pour trier dans les 24 h suivant la collecte.</t>
        </is>
      </c>
    </row>
    <row r="16">
      <c r="B16" s="18" t="inlineStr">
        <is>
          <t>4. Point d'eau, clôture ou gardiennage, et évacuation des refus après pesée.</t>
        </is>
      </c>
    </row>
    <row r="17">
      <c r="B17" s="18" t="inlineStr">
        <is>
          <t>5. Au moins 100 m des habitations, sous les vents dominants.</t>
        </is>
      </c>
    </row>
    <row r="18">
      <c r="B18" s="18" t="inlineStr"/>
    </row>
    <row r="19">
      <c r="B19" s="21" t="inlineStr">
        <is>
          <t>DIMENSIONNEMENT DE L'ÉCHANTILLON</t>
        </is>
      </c>
    </row>
    <row r="20">
      <c r="B20" s="18" t="inlineStr">
        <is>
          <t>62 ménages par commune, effectif identique partout, soit 496 ménages et 496 sacs sur les 8 communes en MODECOM à la source.</t>
        </is>
      </c>
    </row>
    <row r="21">
      <c r="B21" s="18" t="inlineStr">
        <is>
          <t>Effectif calculé pour une marge d'erreur de ±10 % sur la production moyenne par ménage : n = (1,96 x CV / 0,10)², avec CV = 40 %.</t>
        </is>
      </c>
    </row>
    <row r="22">
      <c r="B22" s="18" t="inlineStr">
        <is>
          <t>Effectif égal et non proportionnel : l'objectif est de comparer les communes entre elles, ce qui exige une précision identique dans chacune.</t>
        </is>
      </c>
    </row>
    <row r="23">
      <c r="B23" s="18" t="inlineStr">
        <is>
          <t>Un effectif proportionnel ne se justifierait que pour produire un chiffre régional agrégé.</t>
        </is>
      </c>
    </row>
    <row r="24">
      <c r="B24" s="18" t="inlineStr">
        <is>
          <t>Viser ±5 % demanderait environ 246 ménages par commune, soit près de 2 000 au total, et imposerait de redimensionner les sites de tri.</t>
        </is>
      </c>
    </row>
    <row r="25">
      <c r="B25" s="18" t="inlineStr"/>
    </row>
    <row r="26">
      <c r="B26" s="21" t="inlineStr">
        <is>
          <t>RÉSERVES</t>
        </is>
      </c>
    </row>
    <row r="27">
      <c r="B27" s="18" t="inlineStr">
        <is>
          <t>Le coefficient de variation de 40 % est une hypothèse, pas une mesure. À recalculer après la première campagne et à ajuster pour les suivantes.</t>
        </is>
      </c>
    </row>
    <row r="28">
      <c r="B28" s="18" t="inlineStr">
        <is>
          <t>La variation saisonnière de la composition dépasse la marge d'échantillonnage. Une deuxième campagne à une autre saison apporte plus qu'un effectif plus élevé.</t>
        </is>
      </c>
    </row>
    <row r="29">
      <c r="B29" s="18" t="inlineStr">
        <is>
          <t>Les paramètres exacts (masse minimale de l'échantillon, nombre de campagnes) restent à caler sur le guide MODECOM 2024 de l'ADEME.</t>
        </is>
      </c>
    </row>
    <row r="30">
      <c r="B30" s="18" t="inlineStr"/>
    </row>
    <row r="31">
      <c r="B31" s="18" t="inlineStr">
        <is>
          <t>Les coordonnées des sites sont des points de référence au chef-lieu, sauf Richard Toll (décharge OpenStreetMap) et Ogo (CIVD).</t>
        </is>
      </c>
    </row>
    <row r="32">
      <c r="B32" s="18" t="inlineStr">
        <is>
          <t>L'emplacement définitif de chaque site doit être arrêté sur le terrain avec la commune, puis reporté ici et sur la carte.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2026-08-10T11:19:55Z</dcterms:created>
  <dcterms:modified xmlns:dcterms="http://purl.org/dc/terms/" xmlns:xsi="http://www.w3.org/2001/XMLSchema-instance" xsi:type="dcterms:W3CDTF">2026-08-10T12:46:53Z</dcterms:modified>
</cp:coreProperties>
</file>